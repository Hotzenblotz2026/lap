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ifizierung-my.sharepoint.com/personal/itn309478_qualifizierung_at/Documents/Desktop/IT_Labor_Ullner 7/"/>
    </mc:Choice>
  </mc:AlternateContent>
  <xr:revisionPtr revIDLastSave="74" documentId="8_{7EA39663-009D-470B-9C17-E1F8EB2ADEE0}" xr6:coauthVersionLast="47" xr6:coauthVersionMax="47" xr10:uidLastSave="{4B83C8C9-9A40-4B63-A14A-70FBCF581132}"/>
  <bookViews>
    <workbookView xWindow="-120" yWindow="-120" windowWidth="38640" windowHeight="21120" activeTab="1" xr2:uid="{41F5FE6C-A225-41BC-B459-83BCE14AC4EC}"/>
  </bookViews>
  <sheets>
    <sheet name="Balkendiagramm" sheetId="2" r:id="rId1"/>
    <sheet name="Kreisdiagramm " sheetId="4" r:id="rId2"/>
    <sheet name="IT-Ausgabe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C9" i="1"/>
  <c r="D9" i="1"/>
  <c r="E9" i="1"/>
  <c r="F9" i="1"/>
  <c r="B9" i="1"/>
  <c r="C8" i="1"/>
  <c r="D8" i="1"/>
  <c r="E8" i="1"/>
  <c r="F8" i="1"/>
  <c r="B8" i="1"/>
  <c r="C7" i="1"/>
  <c r="D7" i="1"/>
  <c r="E7" i="1"/>
  <c r="F7" i="1"/>
  <c r="B7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<sst xmlns="http://schemas.openxmlformats.org/spreadsheetml/2006/main" count="20" uniqueCount="20">
  <si>
    <t xml:space="preserve">Kategorie </t>
  </si>
  <si>
    <t>Q1</t>
  </si>
  <si>
    <t>Q2</t>
  </si>
  <si>
    <t>Q3</t>
  </si>
  <si>
    <t>Q4</t>
  </si>
  <si>
    <t>Jahressumme</t>
  </si>
  <si>
    <t>Hardware</t>
  </si>
  <si>
    <t>Software</t>
  </si>
  <si>
    <t>Lizenzen</t>
  </si>
  <si>
    <t>Support</t>
  </si>
  <si>
    <t>Schulungen</t>
  </si>
  <si>
    <t>Quartalssumme</t>
  </si>
  <si>
    <t>Durchschnitt</t>
  </si>
  <si>
    <t>Maximum</t>
  </si>
  <si>
    <t>IT-Ausgabenanalyse 2025</t>
  </si>
  <si>
    <t>Gesamtausgaben Jahr</t>
  </si>
  <si>
    <t>Durchschnitt pro Quartal:</t>
  </si>
  <si>
    <t>Durchschnitt pro Kategorie:</t>
  </si>
  <si>
    <t>Höchste Ausgabe(Quartal):</t>
  </si>
  <si>
    <t>Niedrigste Ausgabe (Quartal):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</si>
</sst>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3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IT-Ausgaben</a:t>
            </a:r>
            <a:r>
              <a:rPr lang="de-AT" baseline="0"/>
              <a:t> 2025 - Quartalsübersicht 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'IT-Ausgaben'!$B$1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'IT-Ausgaben'!$A$2:$A$6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Lizenzen</c:v>
                </c:pt>
                <c:pt idx="3">
                  <c:v>Support</c:v>
                </c:pt>
                <c:pt idx="4">
                  <c:v>Schulungen</c:v>
                </c:pt>
              </c:strCache>
            </c:strRef>
          </c:cat>
          <c:val>
            <c:numRef>
              <c:f>'IT-Ausgaben'!$B$2:$B$6</c:f>
              <c:numCache>
                <c:formatCode>_-* #\ ##0.00\ [$€-407]_-;\-* #\ ##0.00\ [$€-407]_-;_-* "-"??\ [$€-407]_-;_-@_-</c:formatCode>
                <c:ptCount val="5"/>
                <c:pt idx="0">
                  <c:v>12500</c:v>
                </c:pt>
                <c:pt idx="1">
                  <c:v>8200</c:v>
                </c:pt>
                <c:pt idx="2">
                  <c:v>5400</c:v>
                </c:pt>
                <c:pt idx="3">
                  <c:v>3200</c:v>
                </c:pt>
                <c:pt idx="4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4-4284-B3E8-0AA0C568BCEE}"/>
            </c:ext>
          </c:extLst>
        </c:ser>
        <c:ser>
          <c:idx val="1"/>
          <c:order val="1"/>
          <c:tx>
            <c:strRef>
              <c:f>'IT-Ausgaben'!$C$1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'IT-Ausgaben'!$A$2:$A$6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Lizenzen</c:v>
                </c:pt>
                <c:pt idx="3">
                  <c:v>Support</c:v>
                </c:pt>
                <c:pt idx="4">
                  <c:v>Schulungen</c:v>
                </c:pt>
              </c:strCache>
            </c:strRef>
          </c:cat>
          <c:val>
            <c:numRef>
              <c:f>'IT-Ausgaben'!$C$2:$C$6</c:f>
              <c:numCache>
                <c:formatCode>_-* #\ ##0.00\ [$€-407]_-;\-* #\ ##0.00\ [$€-407]_-;_-* "-"??\ [$€-407]_-;_-@_-</c:formatCode>
                <c:ptCount val="5"/>
                <c:pt idx="0">
                  <c:v>8300</c:v>
                </c:pt>
                <c:pt idx="1">
                  <c:v>9500</c:v>
                </c:pt>
                <c:pt idx="2">
                  <c:v>5400</c:v>
                </c:pt>
                <c:pt idx="3">
                  <c:v>3800</c:v>
                </c:pt>
                <c:pt idx="4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4-4284-B3E8-0AA0C568BCEE}"/>
            </c:ext>
          </c:extLst>
        </c:ser>
        <c:ser>
          <c:idx val="2"/>
          <c:order val="2"/>
          <c:tx>
            <c:strRef>
              <c:f>'IT-Ausgaben'!$D$1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'IT-Ausgaben'!$A$2:$A$6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Lizenzen</c:v>
                </c:pt>
                <c:pt idx="3">
                  <c:v>Support</c:v>
                </c:pt>
                <c:pt idx="4">
                  <c:v>Schulungen</c:v>
                </c:pt>
              </c:strCache>
            </c:strRef>
          </c:cat>
          <c:val>
            <c:numRef>
              <c:f>'IT-Ausgaben'!$D$2:$D$6</c:f>
              <c:numCache>
                <c:formatCode>_-* #\ ##0.00\ [$€-407]_-;\-* #\ ##0.00\ [$€-407]_-;_-* "-"??\ [$€-407]_-;_-@_-</c:formatCode>
                <c:ptCount val="5"/>
                <c:pt idx="0">
                  <c:v>15600</c:v>
                </c:pt>
                <c:pt idx="1">
                  <c:v>7800</c:v>
                </c:pt>
                <c:pt idx="2">
                  <c:v>5400</c:v>
                </c:pt>
                <c:pt idx="3">
                  <c:v>4100</c:v>
                </c:pt>
                <c:pt idx="4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4-4284-B3E8-0AA0C568BCEE}"/>
            </c:ext>
          </c:extLst>
        </c:ser>
        <c:ser>
          <c:idx val="3"/>
          <c:order val="3"/>
          <c:tx>
            <c:strRef>
              <c:f>'IT-Ausgaben'!$E$1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'IT-Ausgaben'!$A$2:$A$6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Lizenzen</c:v>
                </c:pt>
                <c:pt idx="3">
                  <c:v>Support</c:v>
                </c:pt>
                <c:pt idx="4">
                  <c:v>Schulungen</c:v>
                </c:pt>
              </c:strCache>
            </c:strRef>
          </c:cat>
          <c:val>
            <c:numRef>
              <c:f>'IT-Ausgaben'!$E$2:$E$6</c:f>
              <c:numCache>
                <c:formatCode>_-* #\ ##0.00\ [$€-407]_-;\-* #\ ##0.00\ [$€-407]_-;_-* "-"??\ [$€-407]_-;_-@_-</c:formatCode>
                <c:ptCount val="5"/>
                <c:pt idx="0">
                  <c:v>9800</c:v>
                </c:pt>
                <c:pt idx="1">
                  <c:v>10200</c:v>
                </c:pt>
                <c:pt idx="2">
                  <c:v>5400</c:v>
                </c:pt>
                <c:pt idx="3">
                  <c:v>3500</c:v>
                </c:pt>
                <c:pt idx="4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4-4284-B3E8-0AA0C568B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18000"/>
        <c:axId val="76910800"/>
      </c:barChart>
      <c:catAx>
        <c:axId val="76918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910800"/>
        <c:crosses val="autoZero"/>
        <c:auto val="1"/>
        <c:lblAlgn val="ctr"/>
        <c:lblOffset val="100"/>
        <c:noMultiLvlLbl val="0"/>
      </c:catAx>
      <c:valAx>
        <c:axId val="76910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Ausgaben</a:t>
                </a:r>
                <a:r>
                  <a:rPr lang="en-US" baseline="0"/>
                  <a:t> </a:t>
                </a:r>
                <a:r>
                  <a:rPr lang="en-US" b="1" baseline="0"/>
                  <a:t>in</a:t>
                </a:r>
                <a:r>
                  <a:rPr lang="en-US" baseline="0"/>
                  <a:t> </a:t>
                </a:r>
                <a:r>
                  <a:rPr lang="en-US" b="1" baseline="0"/>
                  <a:t>€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\ ##0.00\ [$€-407]_-;\-* #\ ##0.00\ [$€-407]_-;_-* &quot;-&quot;??\ [$€-407]_-;_-@_-" sourceLinked="1"/>
        <c:majorTickMark val="out"/>
        <c:minorTickMark val="none"/>
        <c:tickLblPos val="nextTo"/>
        <c:crossAx val="769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Verteilung</a:t>
            </a:r>
            <a:r>
              <a:rPr lang="en-US" baseline="0"/>
              <a:t> der IT-Ausgaben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1922834645669299"/>
          <c:y val="0.29874817731116937"/>
          <c:w val="0.34487685914260718"/>
          <c:h val="0.5747947652376785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6F-454B-BAFC-902AC5BA4D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6F-454B-BAFC-902AC5BA4D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6F-454B-BAFC-902AC5BA4D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6F-454B-BAFC-902AC5BA4D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6F-454B-BAFC-902AC5BA4D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'IT-Ausgaben'!$A$2:$A$6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Lizenzen</c:v>
                </c:pt>
                <c:pt idx="3">
                  <c:v>Support</c:v>
                </c:pt>
                <c:pt idx="4">
                  <c:v>Schulungen</c:v>
                </c:pt>
              </c:strCache>
            </c:strRef>
          </c:cat>
          <c:val>
            <c:numRef>
              <c:f>'IT-Ausgaben'!$F$2:$F$6</c:f>
              <c:numCache>
                <c:formatCode>_-* #\ ##0.00\ [$€-407]_-;\-* #\ ##0.00\ [$€-407]_-;_-* "-"??\ [$€-407]_-;_-@_-</c:formatCode>
                <c:ptCount val="5"/>
                <c:pt idx="0">
                  <c:v>46200</c:v>
                </c:pt>
                <c:pt idx="1">
                  <c:v>35700</c:v>
                </c:pt>
                <c:pt idx="2">
                  <c:v>21600</c:v>
                </c:pt>
                <c:pt idx="3">
                  <c:v>14600</c:v>
                </c:pt>
                <c:pt idx="4">
                  <c:v>17300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6F-454B-BAFC-902AC5BA4D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F33F0A-7E83-4DBE-B40A-1CEDBD9E2688}">
  <sheetPr/>
  <sheetViews>
    <sheetView workbookViewId="0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BEF78A-89D4-4CAE-954A-291563950AEF}">
  <sheetPr/>
  <sheetViews>
    <sheetView tabSelected="1" zoomScale="166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958" cy="6019111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3DFADA-8BE4-C844-F9D7-BE96D71BDA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958" cy="6019111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B4745E0-228E-9CAC-D8B2-7A7F14C05A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B1AF-9061-4068-A353-C002066D71CA}">
  <dimension ref="A1:F17"/>
  <sheetViews>
    <sheetView topLeftCell="A16" zoomScale="200" zoomScaleNormal="200" workbookViewId="0">
      <selection activeCell="L28" sqref="L28"/>
    </sheetView>
  </sheetViews>
  <sheetFormatPr baseColWidth="10" defaultRowHeight="15" x14ac:dyDescent="0.25"/>
  <cols>
    <col min="1" max="1" width="26.5703125" customWidth="1"/>
    <col min="2" max="2" width="13" bestFit="1" customWidth="1"/>
    <col min="3" max="5" width="12" bestFit="1" customWidth="1"/>
    <col min="6" max="6" width="13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4">
        <v>12500</v>
      </c>
      <c r="C2" s="4">
        <v>8300</v>
      </c>
      <c r="D2" s="4">
        <v>15600</v>
      </c>
      <c r="E2" s="4">
        <v>9800</v>
      </c>
      <c r="F2" s="5">
        <f>SUM(B2:E2)</f>
        <v>46200</v>
      </c>
    </row>
    <row r="3" spans="1:6" x14ac:dyDescent="0.25">
      <c r="A3" s="1" t="s">
        <v>7</v>
      </c>
      <c r="B3" s="4">
        <v>8200</v>
      </c>
      <c r="C3" s="4">
        <v>9500</v>
      </c>
      <c r="D3" s="4">
        <v>7800</v>
      </c>
      <c r="E3" s="4">
        <v>10200</v>
      </c>
      <c r="F3" s="5">
        <f t="shared" ref="F3:F6" si="0">SUM(B3:E3)</f>
        <v>35700</v>
      </c>
    </row>
    <row r="4" spans="1:6" x14ac:dyDescent="0.25">
      <c r="A4" s="1" t="s">
        <v>8</v>
      </c>
      <c r="B4" s="4">
        <v>5400</v>
      </c>
      <c r="C4" s="4">
        <v>5400</v>
      </c>
      <c r="D4" s="4">
        <v>5400</v>
      </c>
      <c r="E4" s="4">
        <v>5400</v>
      </c>
      <c r="F4" s="5">
        <f t="shared" si="0"/>
        <v>21600</v>
      </c>
    </row>
    <row r="5" spans="1:6" x14ac:dyDescent="0.25">
      <c r="A5" s="1" t="s">
        <v>9</v>
      </c>
      <c r="B5" s="4">
        <v>3200</v>
      </c>
      <c r="C5" s="4">
        <v>3800</v>
      </c>
      <c r="D5" s="4">
        <v>4100</v>
      </c>
      <c r="E5" s="4">
        <v>3500</v>
      </c>
      <c r="F5" s="5">
        <f t="shared" si="0"/>
        <v>14600</v>
      </c>
    </row>
    <row r="6" spans="1:6" x14ac:dyDescent="0.25">
      <c r="A6" s="1" t="s">
        <v>10</v>
      </c>
      <c r="B6" s="4">
        <v>5400</v>
      </c>
      <c r="C6" s="4">
        <v>2800</v>
      </c>
      <c r="D6" s="4">
        <v>3900</v>
      </c>
      <c r="E6" s="4">
        <v>5200</v>
      </c>
      <c r="F6" s="5">
        <f t="shared" si="0"/>
        <v>17300</v>
      </c>
    </row>
    <row r="7" spans="1:6" x14ac:dyDescent="0.25">
      <c r="A7" s="3" t="s">
        <v>11</v>
      </c>
      <c r="B7" s="5">
        <f>SUM(B2:B6)</f>
        <v>34700</v>
      </c>
      <c r="C7" s="5">
        <f t="shared" ref="C7:F7" si="1">SUM(C2:C6)</f>
        <v>29800</v>
      </c>
      <c r="D7" s="5">
        <f t="shared" si="1"/>
        <v>36800</v>
      </c>
      <c r="E7" s="5">
        <f t="shared" si="1"/>
        <v>34100</v>
      </c>
      <c r="F7" s="5">
        <f t="shared" si="1"/>
        <v>135400</v>
      </c>
    </row>
    <row r="8" spans="1:6" x14ac:dyDescent="0.25">
      <c r="A8" s="3" t="s">
        <v>12</v>
      </c>
      <c r="B8" s="5">
        <f>AVERAGE(B2:B6)</f>
        <v>6940</v>
      </c>
      <c r="C8" s="5">
        <f t="shared" ref="C8:F8" si="2">AVERAGE(C2:C6)</f>
        <v>5960</v>
      </c>
      <c r="D8" s="5">
        <f t="shared" si="2"/>
        <v>7360</v>
      </c>
      <c r="E8" s="5">
        <f t="shared" si="2"/>
        <v>6820</v>
      </c>
      <c r="F8" s="5">
        <f t="shared" si="2"/>
        <v>27080</v>
      </c>
    </row>
    <row r="9" spans="1:6" x14ac:dyDescent="0.25">
      <c r="A9" s="3" t="s">
        <v>13</v>
      </c>
      <c r="B9" s="5">
        <f>MAX(B2:B6)</f>
        <v>12500</v>
      </c>
      <c r="C9" s="5">
        <f t="shared" ref="C9:F9" si="3">MAX(C2:C6)</f>
        <v>9500</v>
      </c>
      <c r="D9" s="5">
        <f t="shared" si="3"/>
        <v>15600</v>
      </c>
      <c r="E9" s="5">
        <f t="shared" si="3"/>
        <v>10200</v>
      </c>
      <c r="F9" s="5">
        <f t="shared" si="3"/>
        <v>46200</v>
      </c>
    </row>
    <row r="11" spans="1:6" x14ac:dyDescent="0.25">
      <c r="A11" s="6" t="s">
        <v>14</v>
      </c>
      <c r="B11" s="6"/>
    </row>
    <row r="12" spans="1:6" x14ac:dyDescent="0.25">
      <c r="A12" s="1"/>
      <c r="B12" s="1"/>
    </row>
    <row r="13" spans="1:6" x14ac:dyDescent="0.25">
      <c r="A13" s="1" t="s">
        <v>15</v>
      </c>
      <c r="B13" s="5">
        <f>SUM(F2:F6)</f>
        <v>135400</v>
      </c>
    </row>
    <row r="14" spans="1:6" x14ac:dyDescent="0.25">
      <c r="A14" s="1" t="s">
        <v>16</v>
      </c>
      <c r="B14" s="5">
        <f>AVERAGE(B7:E7)</f>
        <v>33850</v>
      </c>
    </row>
    <row r="15" spans="1:6" x14ac:dyDescent="0.25">
      <c r="A15" s="1" t="s">
        <v>17</v>
      </c>
      <c r="B15" s="5">
        <f>AVERAGE(B7:E7)</f>
        <v>33850</v>
      </c>
    </row>
    <row r="16" spans="1:6" x14ac:dyDescent="0.25">
      <c r="A16" s="1" t="s">
        <v>18</v>
      </c>
      <c r="B16" s="5">
        <f>MAX(B7:E7)</f>
        <v>36800</v>
      </c>
    </row>
    <row r="17" spans="1:2" x14ac:dyDescent="0.25">
      <c r="A17" s="1" t="s">
        <v>19</v>
      </c>
      <c r="B17" s="5">
        <f>MIN(B7:E7)</f>
        <v>29800</v>
      </c>
    </row>
  </sheetData>
  <mergeCells count="1">
    <mergeCell ref="A11:B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2</vt:i4>
      </vt:variant>
    </vt:vector>
  </HeadingPairs>
  <TitlesOfParts>
    <vt:vector size="3" baseType="lpstr">
      <vt:lpstr>IT-Ausgaben</vt:lpstr>
      <vt:lpstr>Balkendiagramm</vt:lpstr>
      <vt:lpstr>Kreisdiagramm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Kriener Mario</dc:creator>
  <cp:lastModifiedBy>Kriener Mario</cp:lastModifiedBy>
  <dcterms:created xsi:type="dcterms:W3CDTF">2026-07-05T17:59:07Z</dcterms:created>
  <dcterms:modified xsi:type="dcterms:W3CDTF">2026-07-08T09:20:50Z</dcterms:modified>
</cp:coreProperties>
</file>